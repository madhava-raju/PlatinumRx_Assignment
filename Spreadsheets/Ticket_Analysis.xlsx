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" sheetId="2" r:id="rId6"/>
  </sheets>
  <definedNames/>
  <calcPr/>
</workbook>
</file>

<file path=xl/sharedStrings.xml><?xml version="1.0" encoding="utf-8"?>
<sst xmlns="http://schemas.openxmlformats.org/spreadsheetml/2006/main" count="43" uniqueCount="34">
  <si>
    <t>ticket_id</t>
  </si>
  <si>
    <t>created_at</t>
  </si>
  <si>
    <t>closed_at</t>
  </si>
  <si>
    <t>outlet_id</t>
  </si>
  <si>
    <t>cms_id</t>
  </si>
  <si>
    <t>same day</t>
  </si>
  <si>
    <t>same hour</t>
  </si>
  <si>
    <t>t1</t>
  </si>
  <si>
    <t>o1</t>
  </si>
  <si>
    <t>vew-iuvd-12</t>
  </si>
  <si>
    <t>t2</t>
  </si>
  <si>
    <t>o2</t>
  </si>
  <si>
    <t>vew-iuvd-13</t>
  </si>
  <si>
    <t>t3</t>
  </si>
  <si>
    <t>o3</t>
  </si>
  <si>
    <t>vew-iuvd-14</t>
  </si>
  <si>
    <t>t4</t>
  </si>
  <si>
    <t>o4</t>
  </si>
  <si>
    <t>vew-iuvd-15</t>
  </si>
  <si>
    <t>t5</t>
  </si>
  <si>
    <t>o5</t>
  </si>
  <si>
    <t>vew-iuvd-16</t>
  </si>
  <si>
    <t>t6</t>
  </si>
  <si>
    <t>o6</t>
  </si>
  <si>
    <t>vew-iuvd-17</t>
  </si>
  <si>
    <t>t7</t>
  </si>
  <si>
    <t>o7</t>
  </si>
  <si>
    <t>vew-iuvd-18</t>
  </si>
  <si>
    <t>t8</t>
  </si>
  <si>
    <t>o8</t>
  </si>
  <si>
    <t>vew-iuvd-19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</si>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</sst>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3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2.13"/>
    <col customWidth="1" min="4" max="4" width="17.38"/>
    <col customWidth="1" min="5" max="5" width="19.25"/>
    <col customWidth="1" min="6" max="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 t="s">
        <v>7</v>
      </c>
      <c r="B2" s="4">
        <v>44427.416666666664</v>
      </c>
      <c r="C2" s="4">
        <v>44427.625</v>
      </c>
      <c r="D2" s="3" t="s">
        <v>8</v>
      </c>
      <c r="E2" s="3" t="s">
        <v>9</v>
      </c>
      <c r="F2" s="5" t="str">
        <f t="shared" ref="F2:F9" si="1">IF(INT(B2)=INT(C2),"Yes","No")</f>
        <v>Yes</v>
      </c>
      <c r="G2" s="5" t="str">
        <f t="shared" ref="G2:G9" si="2">IF(TEXT(B2,"yyyy-mm-dd hh")=TEXT(C2,"yyyy-mm-dd hh"),"Yes","No")</f>
        <v>No</v>
      </c>
    </row>
    <row r="3">
      <c r="A3" s="3" t="s">
        <v>10</v>
      </c>
      <c r="B3" s="4">
        <v>44427.458333333336</v>
      </c>
      <c r="C3" s="4">
        <v>44428.5</v>
      </c>
      <c r="D3" s="3" t="s">
        <v>11</v>
      </c>
      <c r="E3" s="3" t="s">
        <v>12</v>
      </c>
      <c r="F3" s="5" t="str">
        <f t="shared" si="1"/>
        <v>No</v>
      </c>
      <c r="G3" s="5" t="str">
        <f t="shared" si="2"/>
        <v>No</v>
      </c>
    </row>
    <row r="4">
      <c r="A4" s="3" t="s">
        <v>13</v>
      </c>
      <c r="B4" s="4">
        <v>44428.375</v>
      </c>
      <c r="C4" s="4">
        <v>44428.395833333336</v>
      </c>
      <c r="D4" s="3" t="s">
        <v>14</v>
      </c>
      <c r="E4" s="3" t="s">
        <v>15</v>
      </c>
      <c r="F4" s="5" t="str">
        <f t="shared" si="1"/>
        <v>Yes</v>
      </c>
      <c r="G4" s="5" t="str">
        <f t="shared" si="2"/>
        <v>Yes</v>
      </c>
    </row>
    <row r="5">
      <c r="A5" s="3" t="s">
        <v>16</v>
      </c>
      <c r="B5" s="4">
        <v>44428.583333333336</v>
      </c>
      <c r="C5" s="4">
        <v>44428.666666666664</v>
      </c>
      <c r="D5" s="3" t="s">
        <v>17</v>
      </c>
      <c r="E5" s="3" t="s">
        <v>18</v>
      </c>
      <c r="F5" s="5" t="str">
        <f t="shared" si="1"/>
        <v>Yes</v>
      </c>
      <c r="G5" s="5" t="str">
        <f t="shared" si="2"/>
        <v>No</v>
      </c>
    </row>
    <row r="6">
      <c r="A6" s="3" t="s">
        <v>19</v>
      </c>
      <c r="B6" s="4">
        <v>44429.416666666664</v>
      </c>
      <c r="C6" s="4">
        <v>44429.447916666664</v>
      </c>
      <c r="D6" s="3" t="s">
        <v>20</v>
      </c>
      <c r="E6" s="3" t="s">
        <v>21</v>
      </c>
      <c r="F6" s="5" t="str">
        <f t="shared" si="1"/>
        <v>Yes</v>
      </c>
      <c r="G6" s="5" t="str">
        <f t="shared" si="2"/>
        <v>Yes</v>
      </c>
    </row>
    <row r="7">
      <c r="A7" s="3" t="s">
        <v>22</v>
      </c>
      <c r="B7" s="4">
        <v>44428.291666666664</v>
      </c>
      <c r="C7" s="4">
        <v>44428.333333333336</v>
      </c>
      <c r="D7" s="3" t="s">
        <v>23</v>
      </c>
      <c r="E7" s="3" t="s">
        <v>24</v>
      </c>
      <c r="F7" s="5" t="str">
        <f t="shared" si="1"/>
        <v>Yes</v>
      </c>
      <c r="G7" s="5" t="str">
        <f t="shared" si="2"/>
        <v>No</v>
      </c>
    </row>
    <row r="8">
      <c r="A8" s="3" t="s">
        <v>25</v>
      </c>
      <c r="B8" s="4">
        <v>44428.041666666664</v>
      </c>
      <c r="C8" s="4">
        <v>44428.072916666664</v>
      </c>
      <c r="D8" s="3" t="s">
        <v>26</v>
      </c>
      <c r="E8" s="3" t="s">
        <v>27</v>
      </c>
      <c r="F8" s="5" t="str">
        <f t="shared" si="1"/>
        <v>Yes</v>
      </c>
      <c r="G8" s="5" t="str">
        <f t="shared" si="2"/>
        <v>Yes</v>
      </c>
    </row>
    <row r="9">
      <c r="A9" s="3" t="s">
        <v>28</v>
      </c>
      <c r="B9" s="4">
        <v>44429.333333333336</v>
      </c>
      <c r="C9" s="4">
        <v>44429.395833333336</v>
      </c>
      <c r="D9" s="3" t="s">
        <v>29</v>
      </c>
      <c r="E9" s="3" t="s">
        <v>30</v>
      </c>
      <c r="F9" s="5" t="str">
        <f t="shared" si="1"/>
        <v>Yes</v>
      </c>
      <c r="G9" s="5" t="str">
        <f t="shared" si="2"/>
        <v>No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75"/>
    <col customWidth="1" min="3" max="3" width="23.25"/>
    <col customWidth="1" min="4" max="4" width="22.13"/>
  </cols>
  <sheetData>
    <row r="1">
      <c r="A1" s="1" t="s">
        <v>4</v>
      </c>
      <c r="B1" s="1" t="s">
        <v>31</v>
      </c>
      <c r="C1" s="1" t="s">
        <v>32</v>
      </c>
      <c r="D1" s="1" t="s">
        <v>33</v>
      </c>
    </row>
    <row r="2">
      <c r="A2" s="3" t="s">
        <v>9</v>
      </c>
      <c r="B2" s="4">
        <v>44427.666666666664</v>
      </c>
      <c r="C2" s="3">
        <v>4.0</v>
      </c>
      <c r="D2" s="6">
        <f t="array" ref="D2">XLOOKUP(A2, ticket!E:E, ticket!B:B)</f>
        <v>44427.41667</v>
      </c>
    </row>
    <row r="3">
      <c r="A3" s="3" t="s">
        <v>12</v>
      </c>
      <c r="B3" s="4">
        <v>44428.541666666664</v>
      </c>
      <c r="C3" s="3">
        <v>3.0</v>
      </c>
      <c r="D3" s="6">
        <f t="array" ref="D3">XLOOKUP(A3, ticket!E:E, ticket!B:B)</f>
        <v>44427.45833</v>
      </c>
    </row>
    <row r="4">
      <c r="A4" s="3" t="s">
        <v>15</v>
      </c>
      <c r="B4" s="4">
        <v>44428.416666666664</v>
      </c>
      <c r="C4" s="3">
        <v>5.0</v>
      </c>
      <c r="D4" s="6">
        <f t="array" ref="D4">XLOOKUP(A4, ticket!E:E, ticket!B:B)</f>
        <v>44428.375</v>
      </c>
    </row>
    <row r="5">
      <c r="A5" s="3" t="s">
        <v>18</v>
      </c>
      <c r="B5" s="4">
        <v>44428.708333333336</v>
      </c>
      <c r="C5" s="3">
        <v>2.0</v>
      </c>
      <c r="D5" s="6">
        <f t="array" ref="D5">XLOOKUP(A5, ticket!E:E, ticket!B:B)</f>
        <v>44428.58333</v>
      </c>
    </row>
    <row r="6">
      <c r="A6" s="3" t="s">
        <v>21</v>
      </c>
      <c r="B6" s="4">
        <v>44429.458333333336</v>
      </c>
      <c r="C6" s="3">
        <v>4.0</v>
      </c>
      <c r="D6" s="6">
        <f t="array" ref="D6">XLOOKUP(A6, ticket!E:E, ticket!B:B)</f>
        <v>44429.41667</v>
      </c>
    </row>
    <row r="7">
      <c r="A7" s="3" t="s">
        <v>24</v>
      </c>
      <c r="B7" s="7">
        <v>44428.333333333336</v>
      </c>
      <c r="C7" s="3">
        <v>5.0</v>
      </c>
      <c r="D7" s="6">
        <f t="array" ref="D7">XLOOKUP(A7, ticket!E:E, ticket!B:B)</f>
        <v>44428.29167</v>
      </c>
    </row>
    <row r="8">
      <c r="A8" s="3" t="s">
        <v>27</v>
      </c>
      <c r="B8" s="7">
        <v>44428.083333333336</v>
      </c>
      <c r="C8" s="3">
        <v>3.0</v>
      </c>
      <c r="D8" s="6">
        <f t="array" ref="D8">XLOOKUP(A8, ticket!E:E, ticket!B:B)</f>
        <v>44428.04167</v>
      </c>
    </row>
    <row r="9">
      <c r="A9" s="3" t="s">
        <v>30</v>
      </c>
      <c r="B9" s="7">
        <v>44429.416666666664</v>
      </c>
      <c r="C9" s="3">
        <v>1.0</v>
      </c>
      <c r="D9" s="6">
        <f t="array" ref="D9">XLOOKUP(A9, ticket!E:E, ticket!B:B)</f>
        <v>44429.33333</v>
      </c>
    </row>
  </sheetData>
  <drawing r:id="rId1"/>
</worksheet>
</file>